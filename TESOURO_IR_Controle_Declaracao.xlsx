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TULAR" sheetId="1" state="visible" r:id="rId3"/>
    <sheet name="RENDIMENTOS" sheetId="2" state="visible" r:id="rId4"/>
    <sheet name="LANCAMENTOS" sheetId="3" state="visible" r:id="rId5"/>
    <sheet name="RESUMO" sheetId="4" state="visible" r:id="rId6"/>
    <sheet name="LISTAS" sheetId="5" state="hidden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<sst xmlns="http://schemas.openxmlformats.org/spreadsheetml/2006/main" count="161" uniqueCount="114">
  <si>
    <t xml:space="preserve">1. DADOS DO TITULAR</t>
  </si>
  <si>
    <t xml:space="preserve">Preencha os dados da sua pessoa física abaixo</t>
  </si>
  <si>
    <t xml:space="preserve">TESOURO IR</t>
  </si>
  <si>
    <t xml:space="preserve">NOME</t>
  </si>
  <si>
    <t xml:space="preserve">ANA BEATRIZ COSTA LIMA</t>
  </si>
  <si>
    <t xml:space="preserve">Controle de Dados para o IRPF</t>
  </si>
  <si>
    <t xml:space="preserve">CPF</t>
  </si>
  <si>
    <t xml:space="preserve">NASCIMENTO</t>
  </si>
  <si>
    <t xml:space="preserve">TÍTULO DE ELEITOR</t>
  </si>
  <si>
    <t xml:space="preserve">TITULAR</t>
  </si>
  <si>
    <t xml:space="preserve">CÔNJUGE</t>
  </si>
  <si>
    <t xml:space="preserve">MARCOS ANDRADE SOUZA</t>
  </si>
  <si>
    <t xml:space="preserve">RUA</t>
  </si>
  <si>
    <t xml:space="preserve">Avenida das Palmeiras, 452 - Apto 302</t>
  </si>
  <si>
    <t xml:space="preserve">RUA ABREVIADA</t>
  </si>
  <si>
    <t xml:space="preserve">Av. Palmeiras, 452</t>
  </si>
  <si>
    <t xml:space="preserve">RENDIMENTOS</t>
  </si>
  <si>
    <t xml:space="preserve">CEP</t>
  </si>
  <si>
    <t xml:space="preserve">TELEFONE</t>
  </si>
  <si>
    <t xml:space="preserve">CELULAR</t>
  </si>
  <si>
    <t xml:space="preserve">LANÇAMENTOS</t>
  </si>
  <si>
    <t xml:space="preserve">E-MAIL</t>
  </si>
  <si>
    <t xml:space="preserve">ana.lima@exemplo.com</t>
  </si>
  <si>
    <t xml:space="preserve">HOUVE ALTERAÇÕES DA ENTREGA ANTERIOR</t>
  </si>
  <si>
    <t xml:space="preserve">NÃO</t>
  </si>
  <si>
    <t xml:space="preserve">DEPENDENTE CÔNJUGE</t>
  </si>
  <si>
    <t xml:space="preserve">RESUMO</t>
  </si>
  <si>
    <t xml:space="preserve">RESIDENTE NO EXTERIOR</t>
  </si>
  <si>
    <t xml:space="preserve">PRÓXIMO →</t>
  </si>
  <si>
    <t xml:space="preserve">Modelo de controle fiscal
para organização pessoal</t>
  </si>
  <si>
    <t xml:space="preserve">2. INFORMES DE RENDIMENTOS BANCÁRIOS</t>
  </si>
  <si>
    <t xml:space="preserve">Preencha com seus dados atuais de cada banco</t>
  </si>
  <si>
    <t xml:space="preserve">TOTAL</t>
  </si>
  <si>
    <t xml:space="preserve">1º Banco</t>
  </si>
  <si>
    <t xml:space="preserve">BANCO</t>
  </si>
  <si>
    <t xml:space="preserve">341 - Itaú Unibanco</t>
  </si>
  <si>
    <t xml:space="preserve">VALOR ATUAL</t>
  </si>
  <si>
    <t xml:space="preserve">ANEXO 📎</t>
  </si>
  <si>
    <t xml:space="preserve">informe_itau_2025.pdf</t>
  </si>
  <si>
    <t xml:space="preserve">2º Banco</t>
  </si>
  <si>
    <t xml:space="preserve">260 - Nubank</t>
  </si>
  <si>
    <t xml:space="preserve">informe_nubank_2025.pdf</t>
  </si>
  <si>
    <t xml:space="preserve">3º Banco</t>
  </si>
  <si>
    <t xml:space="preserve">1 - Banco do Brasil</t>
  </si>
  <si>
    <t xml:space="preserve">informe_bb_2025.pdf</t>
  </si>
  <si>
    <t xml:space="preserve">← ANTERIOR</t>
  </si>
  <si>
    <t xml:space="preserve">3. LANÇAMENTOS MENSAIS DE RECEITA</t>
  </si>
  <si>
    <t xml:space="preserve">Registre todas as entradas de receita mês a mês</t>
  </si>
  <si>
    <t xml:space="preserve">DATA</t>
  </si>
  <si>
    <t xml:space="preserve">CATEGORIA</t>
  </si>
  <si>
    <t xml:space="preserve">VALOR</t>
  </si>
  <si>
    <t xml:space="preserve">SALÁRIO</t>
  </si>
  <si>
    <t xml:space="preserve">FREELANCE</t>
  </si>
  <si>
    <t xml:space="preserve">ALUGUEL</t>
  </si>
  <si>
    <t xml:space="preserve">4. RESUMO GERAL</t>
  </si>
  <si>
    <t xml:space="preserve">Visão consolidada dos seus dados fiscais</t>
  </si>
  <si>
    <t xml:space="preserve">TOTAL DE RENDIMENTOS BANCÁRIOS</t>
  </si>
  <si>
    <t xml:space="preserve">TOTAL DE LANÇAMENTOS DO PERÍODO</t>
  </si>
  <si>
    <t xml:space="preserve">TOTAL GERAL</t>
  </si>
  <si>
    <t xml:space="preserve">RECEITAS POR CATEGORIA</t>
  </si>
  <si>
    <t xml:space="preserve">INVESTIMENTOS</t>
  </si>
  <si>
    <t xml:space="preserve">OUTROS</t>
  </si>
  <si>
    <t xml:space="preserve">CATEGORIA COM MAIOR RECEITA</t>
  </si>
  <si>
    <t xml:space="preserve">bancos</t>
  </si>
  <si>
    <t xml:space="preserve">categorias</t>
  </si>
  <si>
    <t xml:space="preserve">sim_nao</t>
  </si>
  <si>
    <t xml:space="preserve">SIM</t>
  </si>
  <si>
    <t xml:space="preserve">102 - XP Investimentos CCTVM S.A.</t>
  </si>
  <si>
    <t xml:space="preserve">104 - Caixa Econômica Federal</t>
  </si>
  <si>
    <t xml:space="preserve">119 - Banco Western Union do Brasil</t>
  </si>
  <si>
    <t xml:space="preserve">184 - Banco Itaú BBA S.A.</t>
  </si>
  <si>
    <t xml:space="preserve">197 - Stone Pagamentos</t>
  </si>
  <si>
    <t xml:space="preserve">208 - Banco BTG Pactual</t>
  </si>
  <si>
    <t xml:space="preserve">212 - Banco Original</t>
  </si>
  <si>
    <t xml:space="preserve">218 - Banco Bonsucesso</t>
  </si>
  <si>
    <t xml:space="preserve">229 - Banco Cruzeiro do Sul</t>
  </si>
  <si>
    <t xml:space="preserve">237 - Banco Bradesco</t>
  </si>
  <si>
    <t xml:space="preserve">24 - Banco de Pernambuco</t>
  </si>
  <si>
    <t xml:space="preserve">241 - Banco Clássico</t>
  </si>
  <si>
    <t xml:space="preserve">250 - Banco de Crédito e Varejo (BCV)</t>
  </si>
  <si>
    <t xml:space="preserve">29 - Banco do Estado do Rio de Janeiro</t>
  </si>
  <si>
    <t xml:space="preserve">290 - PagBank</t>
  </si>
  <si>
    <t xml:space="preserve">3 - Banco da Amazônia</t>
  </si>
  <si>
    <t xml:space="preserve">33 - Banco Santander</t>
  </si>
  <si>
    <t xml:space="preserve">336 - C6 Bank</t>
  </si>
  <si>
    <t xml:space="preserve">37 - Banco do Estado do Pará</t>
  </si>
  <si>
    <t xml:space="preserve">376 - Banco JPMorgan S.A.</t>
  </si>
  <si>
    <t xml:space="preserve">380 - PicPay</t>
  </si>
  <si>
    <t xml:space="preserve">4 - Banco do Nordeste do Brasil</t>
  </si>
  <si>
    <t xml:space="preserve">41 - Banco do Estado do Rio Grande do Sul</t>
  </si>
  <si>
    <t xml:space="preserve">422 - Banco Safra</t>
  </si>
  <si>
    <t xml:space="preserve">44 - Banco BVA</t>
  </si>
  <si>
    <t xml:space="preserve">464 - Banco Sumitomo Mitsui Brasileiro</t>
  </si>
  <si>
    <t xml:space="preserve">477 - Citibank</t>
  </si>
  <si>
    <t xml:space="preserve">600 - Banco Luso Brasileiro</t>
  </si>
  <si>
    <t xml:space="preserve">604 - Banco Industrial do Brasil</t>
  </si>
  <si>
    <t xml:space="preserve">610 - Banco VR</t>
  </si>
  <si>
    <t xml:space="preserve">62 - Hipercard Banco Múltiplo</t>
  </si>
  <si>
    <t xml:space="preserve">634 - Banco Triângulo</t>
  </si>
  <si>
    <t xml:space="preserve">65 - Banco Lemon</t>
  </si>
  <si>
    <t xml:space="preserve">654 - Banco AJ Renner</t>
  </si>
  <si>
    <t xml:space="preserve">655 - Banco Votorantim</t>
  </si>
  <si>
    <t xml:space="preserve">66 - Banco Morgan Stanley</t>
  </si>
  <si>
    <t xml:space="preserve">707 - Banco Daycoval</t>
  </si>
  <si>
    <t xml:space="preserve">72 - Banco Rural Mais</t>
  </si>
  <si>
    <t xml:space="preserve">734 - Banco Gerdau</t>
  </si>
  <si>
    <t xml:space="preserve">735 - Banco Neon</t>
  </si>
  <si>
    <t xml:space="preserve">74 - Banco J. Safra</t>
  </si>
  <si>
    <t xml:space="preserve">746 - Banco Modal</t>
  </si>
  <si>
    <t xml:space="preserve">748 - Banco Cooperativo Sicredi S.A.</t>
  </si>
  <si>
    <t xml:space="preserve">749 - Banco Simples</t>
  </si>
  <si>
    <t xml:space="preserve">77 - Banco Inter</t>
  </si>
  <si>
    <t xml:space="preserve">79 - Banco JBS</t>
  </si>
  <si>
    <t xml:space="preserve">82 - Banco Topázio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</si>
</sst>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00\.000\.000\-00"/>
    <numFmt numFmtId="166" formatCode="dd/mm/yyyy"/>
    <numFmt numFmtId="167" formatCode="00000\-000"/>
    <numFmt numFmtId="168" formatCode="\(00&quot;) &quot;0000\-0000"/>
    <numFmt numFmtId="169" formatCode="\(00&quot;) &quot;00000\-0000"/>
    <numFmt numFmtId="170" formatCode="&quot;R$ &quot;#,##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3D2E"/>
      <name val="Calibri"/>
      <family val="0"/>
      <charset val="1"/>
    </font>
    <font>
      <i val="true"/>
      <sz val="10.5"/>
      <color rgb="FF4B5A52"/>
      <name val="Calibri"/>
      <family val="0"/>
      <charset val="1"/>
    </font>
    <font>
      <b val="true"/>
      <sz val="18"/>
      <color rgb="FFC9A227"/>
      <name val="Calibri"/>
      <family val="0"/>
      <charset val="1"/>
    </font>
    <font>
      <sz val="11"/>
      <color rgb="FF1F2D27"/>
      <name val="Calibri"/>
      <family val="0"/>
      <charset val="1"/>
    </font>
    <font>
      <sz val="11"/>
      <color rgb="FF7A5B00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2"/>
      <color rgb="FF0B3D2E"/>
      <name val="Calibri"/>
      <family val="0"/>
      <charset val="1"/>
    </font>
    <font>
      <sz val="12"/>
      <color rgb="FFFFFFFF"/>
      <name val="Calibri"/>
      <family val="0"/>
      <charset val="1"/>
    </font>
    <font>
      <b val="true"/>
      <sz val="11"/>
      <color rgb="FF0B3D2E"/>
      <name val="Calibri"/>
      <family val="0"/>
      <charset val="1"/>
    </font>
    <font>
      <i val="true"/>
      <sz val="8.5"/>
      <color rgb="FFFFFFFF"/>
      <name val="Calibri"/>
      <family val="0"/>
      <charset val="1"/>
    </font>
    <font>
      <b val="true"/>
      <sz val="11"/>
      <color rgb="FF1F2D27"/>
      <name val="Calibri"/>
      <family val="0"/>
      <charset val="1"/>
    </font>
    <font>
      <b val="true"/>
      <sz val="12"/>
      <color rgb="FF7A5B00"/>
      <name val="Calibri"/>
      <family val="0"/>
      <charset val="1"/>
    </font>
    <font>
      <i val="true"/>
      <sz val="8"/>
      <color rgb="FF4B5A52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7A5B00"/>
      <name val="Calibri"/>
      <family val="0"/>
      <charset val="1"/>
    </font>
    <font>
      <b val="true"/>
      <sz val="13"/>
      <color rgb="FF0B3D2E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3D2E"/>
        <bgColor rgb="FF1F2D27"/>
      </patternFill>
    </fill>
    <fill>
      <patternFill patternType="solid">
        <fgColor rgb="FFEFF6F1"/>
        <bgColor rgb="FFFFFFFF"/>
      </patternFill>
    </fill>
    <fill>
      <patternFill patternType="solid">
        <fgColor rgb="FFFFF3CF"/>
        <bgColor rgb="FFEFF6F1"/>
      </patternFill>
    </fill>
    <fill>
      <patternFill patternType="solid">
        <fgColor rgb="FFC9A227"/>
        <bgColor rgb="FF99CC00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C9A227"/>
      </bottom>
      <diagonal/>
    </border>
    <border diagonalUp="false" diagonalDown="false">
      <left/>
      <right/>
      <top/>
      <bottom style="thin">
        <color rgb="FFD9D9D9"/>
      </bottom>
      <diagonal/>
    </border>
    <border diagonalUp="false" diagonalDown="false">
      <left/>
      <right/>
      <top/>
      <bottom style="thin">
        <color rgb="FFC9A227"/>
      </bottom>
      <diagonal/>
    </border>
    <border diagonalUp="false" diagonalDown="false">
      <left/>
      <right/>
      <top style="thin">
        <color rgb="FFC9A22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0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B3D2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2D27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B00"/>
      <rgbColor rgb="FF800080"/>
      <rgbColor rgb="FF008080"/>
      <rgbColor rgb="FFC0C0C0"/>
      <rgbColor rgb="FF808080"/>
      <rgbColor rgb="FF9999FF"/>
      <rgbColor rgb="FF993366"/>
      <rgbColor rgb="FFFFF3CF"/>
      <rgbColor rgb="FFEFF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4B5A52"/>
      <rgbColor rgb="FF969696"/>
      <rgbColor rgb="FF003366"/>
      <rgbColor rgb="FF339966"/>
      <rgbColor rgb="FF0B3D2E"/>
      <rgbColor rgb="FF333300"/>
      <rgbColor rgb="FF993300"/>
      <rgbColor rgb="FF993366"/>
      <rgbColor rgb="FF333399"/>
      <rgbColor rgb="FF1F2D2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666360</xdr:colOff>
      <xdr:row>4</xdr:row>
      <xdr:rowOff>28080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190440"/>
          <a:ext cx="66636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666360</xdr:colOff>
      <xdr:row>4</xdr:row>
      <xdr:rowOff>28080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190440"/>
          <a:ext cx="66636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666360</xdr:colOff>
      <xdr:row>4</xdr:row>
      <xdr:rowOff>28080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190440"/>
          <a:ext cx="66636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0</xdr:col>
      <xdr:colOff>666360</xdr:colOff>
      <xdr:row>4</xdr:row>
      <xdr:rowOff>28080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190440"/>
          <a:ext cx="666360" cy="7426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elaLancamentos" displayName="TabelaLancamentos" ref="C8:E35" headerRowCount="1" totalsRowCount="0" totalsRowShown="0">
  <autoFilter ref="C8:E35"/>
  <tableColumns count="3">
    <tableColumn id="1" name="DATA"/>
    <tableColumn id="2" name="CATEGORIA"/>
    <tableColumn id="3" name="VALO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TESOURO_IR_Controle_Declaracao.xlsx" TargetMode="External"/><Relationship Id="rId2" Type="http://schemas.openxmlformats.org/officeDocument/2006/relationships/hyperlink" Target="TESOURO_IR_Controle_Declaracao.xlsx" TargetMode="External"/><Relationship Id="rId3" Type="http://schemas.openxmlformats.org/officeDocument/2006/relationships/hyperlink" Target="TESOURO_IR_Controle_Declaracao.xlsx" TargetMode="External"/><Relationship Id="rId4" Type="http://schemas.openxmlformats.org/officeDocument/2006/relationships/hyperlink" Target="TESOURO_IR_Controle_Declaracao.xlsx" TargetMode="External"/><Relationship Id="rId5" Type="http://schemas.openxmlformats.org/officeDocument/2006/relationships/hyperlink" Target="TESOURO_IR_Controle_Declaracao.xlsx" TargetMode="External"/><Relationship Id="rId6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TESOURO_IR_Controle_Declaracao.xlsx" TargetMode="External"/><Relationship Id="rId2" Type="http://schemas.openxmlformats.org/officeDocument/2006/relationships/hyperlink" Target="TESOURO_IR_Controle_Declaracao.xlsx" TargetMode="External"/><Relationship Id="rId3" Type="http://schemas.openxmlformats.org/officeDocument/2006/relationships/hyperlink" Target="TESOURO_IR_Controle_Declaracao.xlsx" TargetMode="External"/><Relationship Id="rId4" Type="http://schemas.openxmlformats.org/officeDocument/2006/relationships/hyperlink" Target="TESOURO_IR_Controle_Declaracao.xlsx" TargetMode="External"/><Relationship Id="rId5" Type="http://schemas.openxmlformats.org/officeDocument/2006/relationships/hyperlink" Target="TESOURO_IR_Controle_Declaracao.xlsx" TargetMode="External"/><Relationship Id="rId6" Type="http://schemas.openxmlformats.org/officeDocument/2006/relationships/hyperlink" Target="TESOURO_IR_Controle_Declaracao.xlsx" TargetMode="External"/><Relationship Id="rId7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TESOURO_IR_Controle_Declaracao.xlsx" TargetMode="External"/><Relationship Id="rId2" Type="http://schemas.openxmlformats.org/officeDocument/2006/relationships/hyperlink" Target="TESOURO_IR_Controle_Declaracao.xlsx" TargetMode="External"/><Relationship Id="rId3" Type="http://schemas.openxmlformats.org/officeDocument/2006/relationships/hyperlink" Target="TESOURO_IR_Controle_Declaracao.xlsx" TargetMode="External"/><Relationship Id="rId4" Type="http://schemas.openxmlformats.org/officeDocument/2006/relationships/hyperlink" Target="TESOURO_IR_Controle_Declaracao.xlsx" TargetMode="External"/><Relationship Id="rId5" Type="http://schemas.openxmlformats.org/officeDocument/2006/relationships/hyperlink" Target="TESOURO_IR_Controle_Declaracao.xlsx" TargetMode="External"/><Relationship Id="rId6" Type="http://schemas.openxmlformats.org/officeDocument/2006/relationships/hyperlink" Target="TESOURO_IR_Controle_Declaracao.xlsx" TargetMode="External"/><Relationship Id="rId7" Type="http://schemas.openxmlformats.org/officeDocument/2006/relationships/drawing" Target="../drawings/drawing3.xml"/><Relationship Id="rId8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TESOURO_IR_Controle_Declaracao.xlsx" TargetMode="External"/><Relationship Id="rId2" Type="http://schemas.openxmlformats.org/officeDocument/2006/relationships/hyperlink" Target="TESOURO_IR_Controle_Declaracao.xlsx" TargetMode="External"/><Relationship Id="rId3" Type="http://schemas.openxmlformats.org/officeDocument/2006/relationships/hyperlink" Target="TESOURO_IR_Controle_Declaracao.xlsx" TargetMode="External"/><Relationship Id="rId4" Type="http://schemas.openxmlformats.org/officeDocument/2006/relationships/hyperlink" Target="TESOURO_IR_Controle_Declaracao.xlsx" TargetMode="External"/><Relationship Id="rId5" Type="http://schemas.openxmlformats.org/officeDocument/2006/relationships/hyperlink" Target="TESOURO_IR_Controle_Declaracao.xlsx" TargetMode="External"/><Relationship Id="rId6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15" hidden="false" customHeight="true" outlineLevel="0" collapsed="false">
      <c r="A1" s="1"/>
    </row>
    <row r="2" customFormat="false" ht="15" hidden="false" customHeight="true" outlineLevel="0" collapsed="false">
      <c r="A2" s="1"/>
    </row>
    <row r="3" customFormat="false" ht="19.5" hidden="false" customHeight="true" outlineLevel="0" collapsed="false">
      <c r="A3" s="1"/>
      <c r="C3" s="2" t="s">
        <v>0</v>
      </c>
      <c r="D3" s="2"/>
      <c r="E3" s="2"/>
    </row>
    <row r="4" customFormat="false" ht="21.75" hidden="false" customHeight="true" outlineLevel="0" collapsed="false">
      <c r="A4" s="1"/>
      <c r="C4" s="3" t="s">
        <v>1</v>
      </c>
      <c r="D4" s="3"/>
      <c r="E4" s="3"/>
    </row>
    <row r="5" customFormat="false" ht="15" hidden="false" customHeight="true" outlineLevel="0" collapsed="false">
      <c r="A5" s="1"/>
    </row>
    <row r="6" customFormat="false" ht="16.5" hidden="false" customHeight="true" outlineLevel="0" collapsed="false">
      <c r="A6" s="4" t="s">
        <v>2</v>
      </c>
      <c r="C6" s="5" t="s">
        <v>3</v>
      </c>
      <c r="D6" s="6" t="s">
        <v>4</v>
      </c>
    </row>
    <row r="7" customFormat="false" ht="16.5" hidden="false" customHeight="true" outlineLevel="0" collapsed="false">
      <c r="A7" s="7" t="s">
        <v>5</v>
      </c>
      <c r="C7" s="5" t="s">
        <v>6</v>
      </c>
      <c r="D7" s="8" t="n">
        <v>45678912355</v>
      </c>
    </row>
    <row r="8" customFormat="false" ht="16.5" hidden="false" customHeight="true" outlineLevel="0" collapsed="false">
      <c r="A8" s="1"/>
      <c r="C8" s="5" t="s">
        <v>7</v>
      </c>
      <c r="D8" s="9" t="n">
        <v>33007</v>
      </c>
    </row>
    <row r="9" customFormat="false" ht="16.5" hidden="false" customHeight="true" outlineLevel="0" collapsed="false">
      <c r="A9" s="1"/>
      <c r="C9" s="5" t="s">
        <v>8</v>
      </c>
      <c r="D9" s="6" t="n">
        <v>456789123045</v>
      </c>
    </row>
    <row r="10" customFormat="false" ht="16.5" hidden="false" customHeight="true" outlineLevel="0" collapsed="false">
      <c r="A10" s="10" t="s">
        <v>9</v>
      </c>
      <c r="C10" s="5" t="s">
        <v>10</v>
      </c>
      <c r="D10" s="6" t="s">
        <v>11</v>
      </c>
    </row>
    <row r="11" customFormat="false" ht="16.5" hidden="false" customHeight="true" outlineLevel="0" collapsed="false">
      <c r="A11" s="10"/>
      <c r="C11" s="5" t="s">
        <v>12</v>
      </c>
      <c r="D11" s="6" t="s">
        <v>13</v>
      </c>
    </row>
    <row r="12" customFormat="false" ht="16.5" hidden="false" customHeight="true" outlineLevel="0" collapsed="false">
      <c r="A12" s="1"/>
      <c r="C12" s="5" t="s">
        <v>14</v>
      </c>
      <c r="D12" s="6" t="s">
        <v>15</v>
      </c>
    </row>
    <row r="13" customFormat="false" ht="16.5" hidden="false" customHeight="true" outlineLevel="0" collapsed="false">
      <c r="A13" s="11" t="s">
        <v>16</v>
      </c>
      <c r="C13" s="5" t="s">
        <v>17</v>
      </c>
      <c r="D13" s="12" t="n">
        <v>60110000</v>
      </c>
    </row>
    <row r="14" customFormat="false" ht="16.5" hidden="false" customHeight="true" outlineLevel="0" collapsed="false">
      <c r="A14" s="11"/>
      <c r="C14" s="5" t="s">
        <v>18</v>
      </c>
      <c r="D14" s="13" t="n">
        <v>8532345678</v>
      </c>
    </row>
    <row r="15" customFormat="false" ht="16.5" hidden="false" customHeight="true" outlineLevel="0" collapsed="false">
      <c r="A15" s="1"/>
      <c r="C15" s="5" t="s">
        <v>19</v>
      </c>
      <c r="D15" s="14" t="n">
        <v>85998765432</v>
      </c>
    </row>
    <row r="16" customFormat="false" ht="16.5" hidden="false" customHeight="true" outlineLevel="0" collapsed="false">
      <c r="A16" s="11" t="s">
        <v>20</v>
      </c>
      <c r="C16" s="5" t="s">
        <v>21</v>
      </c>
      <c r="D16" s="6" t="s">
        <v>22</v>
      </c>
    </row>
    <row r="17" customFormat="false" ht="16.5" hidden="false" customHeight="true" outlineLevel="0" collapsed="false">
      <c r="A17" s="11"/>
      <c r="C17" s="5" t="s">
        <v>23</v>
      </c>
      <c r="D17" s="6" t="s">
        <v>24</v>
      </c>
    </row>
    <row r="18" customFormat="false" ht="16.5" hidden="false" customHeight="true" outlineLevel="0" collapsed="false">
      <c r="A18" s="1"/>
      <c r="C18" s="5" t="s">
        <v>25</v>
      </c>
      <c r="D18" s="6" t="s">
        <v>24</v>
      </c>
    </row>
    <row r="19" customFormat="false" ht="16.5" hidden="false" customHeight="true" outlineLevel="0" collapsed="false">
      <c r="A19" s="11" t="s">
        <v>26</v>
      </c>
      <c r="C19" s="5" t="s">
        <v>27</v>
      </c>
      <c r="D19" s="6" t="s">
        <v>24</v>
      </c>
    </row>
    <row r="20" customFormat="false" ht="15.75" hidden="false" customHeight="true" outlineLevel="0" collapsed="false">
      <c r="A20" s="11"/>
    </row>
    <row r="21" customFormat="false" ht="15" hidden="false" customHeight="true" outlineLevel="0" collapsed="false">
      <c r="A21" s="1"/>
    </row>
    <row r="22" customFormat="false" ht="18" hidden="false" customHeight="true" outlineLevel="0" collapsed="false">
      <c r="A22" s="15"/>
      <c r="D22" s="16" t="s">
        <v>28</v>
      </c>
      <c r="E22" s="16"/>
    </row>
    <row r="23" customFormat="false" ht="18" hidden="false" customHeight="true" outlineLevel="0" collapsed="false">
      <c r="A23" s="17" t="s">
        <v>29</v>
      </c>
      <c r="D23" s="16"/>
      <c r="E23" s="16"/>
    </row>
    <row r="24" customFormat="false" ht="15" hidden="false" customHeight="true" outlineLevel="0" collapsed="false">
      <c r="A24" s="17"/>
    </row>
    <row r="25" customFormat="false" ht="15" hidden="false" customHeight="true" outlineLevel="0" collapsed="false">
      <c r="A25" s="17"/>
    </row>
    <row r="26" customFormat="false" ht="15" hidden="false" customHeight="true" outlineLevel="0" collapsed="false">
      <c r="A26" s="1"/>
    </row>
  </sheetData>
  <mergeCells count="8">
    <mergeCell ref="C3:E3"/>
    <mergeCell ref="C4:E4"/>
    <mergeCell ref="A10:A11"/>
    <mergeCell ref="A13:A14"/>
    <mergeCell ref="A16:A17"/>
    <mergeCell ref="A19:A20"/>
    <mergeCell ref="D22:E23"/>
    <mergeCell ref="A23:A25"/>
  </mergeCells>
  <dataValidations count="1">
    <dataValidation allowBlank="true" errorStyle="stop" operator="between" prompt="Escolha SIM ou NÃO" promptTitle="Selecione" showDropDown="false" showErrorMessage="true" showInputMessage="true" sqref="D17:D19" type="list">
      <formula1>LISTAS!$E$2:$E$3</formula1>
      <formula2>0</formula2>
    </dataValidation>
  </dataValidations>
  <hyperlinks>
    <hyperlink ref="A10" r:id="rId1" location="TITULAR!A1" display="TITULAR"/>
    <hyperlink ref="A13" r:id="rId2" location="RENDIMENTOS!A1" display="RENDIMENTOS"/>
    <hyperlink ref="A16" r:id="rId3" location="LANCAMENTOS!A1" display="LANÇAMENTOS"/>
    <hyperlink ref="A19" r:id="rId4" location="RESUMO!A1" display="RESUMO"/>
    <hyperlink ref="D22" r:id="rId5" location="RENDIMENTOS!A1" display="PRÓXIMO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18"/>
  </cols>
  <sheetData>
    <row r="1" customFormat="false" ht="15" hidden="false" customHeight="true" outlineLevel="0" collapsed="false">
      <c r="A1" s="1"/>
    </row>
    <row r="2" customFormat="false" ht="15" hidden="false" customHeight="true" outlineLevel="0" collapsed="false">
      <c r="A2" s="1"/>
    </row>
    <row r="3" customFormat="false" ht="19.5" hidden="false" customHeight="true" outlineLevel="0" collapsed="false">
      <c r="A3" s="1"/>
      <c r="C3" s="2" t="s">
        <v>30</v>
      </c>
      <c r="D3" s="2"/>
      <c r="E3" s="2"/>
    </row>
    <row r="4" customFormat="false" ht="21.75" hidden="false" customHeight="true" outlineLevel="0" collapsed="false">
      <c r="A4" s="1"/>
      <c r="C4" s="3" t="s">
        <v>31</v>
      </c>
      <c r="D4" s="3"/>
      <c r="E4" s="3"/>
    </row>
    <row r="5" customFormat="false" ht="15" hidden="false" customHeight="true" outlineLevel="0" collapsed="false">
      <c r="A5" s="1"/>
    </row>
    <row r="6" customFormat="false" ht="25.5" hidden="false" customHeight="true" outlineLevel="0" collapsed="false">
      <c r="A6" s="4" t="s">
        <v>2</v>
      </c>
      <c r="C6" s="18" t="s">
        <v>32</v>
      </c>
    </row>
    <row r="7" customFormat="false" ht="20.25" hidden="false" customHeight="true" outlineLevel="0" collapsed="false">
      <c r="A7" s="7" t="s">
        <v>5</v>
      </c>
      <c r="C7" s="19" t="n">
        <f aca="false">SUM(D11,D16,D21)</f>
        <v>24650.95</v>
      </c>
      <c r="D7" s="19"/>
    </row>
    <row r="8" customFormat="false" ht="15" hidden="false" customHeight="true" outlineLevel="0" collapsed="false">
      <c r="A8" s="1"/>
    </row>
    <row r="9" customFormat="false" ht="16.5" hidden="false" customHeight="true" outlineLevel="0" collapsed="false">
      <c r="A9" s="1"/>
      <c r="C9" s="20" t="s">
        <v>33</v>
      </c>
    </row>
    <row r="10" customFormat="false" ht="16.5" hidden="false" customHeight="true" outlineLevel="0" collapsed="false">
      <c r="A10" s="11" t="s">
        <v>9</v>
      </c>
      <c r="C10" s="5" t="s">
        <v>34</v>
      </c>
      <c r="D10" s="6" t="s">
        <v>35</v>
      </c>
    </row>
    <row r="11" customFormat="false" ht="16.5" hidden="false" customHeight="true" outlineLevel="0" collapsed="false">
      <c r="A11" s="11"/>
      <c r="C11" s="5" t="s">
        <v>36</v>
      </c>
      <c r="D11" s="21" t="n">
        <v>12500.75</v>
      </c>
    </row>
    <row r="12" customFormat="false" ht="16.5" hidden="false" customHeight="true" outlineLevel="0" collapsed="false">
      <c r="A12" s="1"/>
      <c r="C12" s="5" t="s">
        <v>37</v>
      </c>
      <c r="D12" s="6" t="s">
        <v>38</v>
      </c>
    </row>
    <row r="13" customFormat="false" ht="15.75" hidden="false" customHeight="true" outlineLevel="0" collapsed="false">
      <c r="A13" s="10" t="s">
        <v>16</v>
      </c>
    </row>
    <row r="14" customFormat="false" ht="16.5" hidden="false" customHeight="true" outlineLevel="0" collapsed="false">
      <c r="A14" s="10"/>
      <c r="C14" s="20" t="s">
        <v>39</v>
      </c>
    </row>
    <row r="15" customFormat="false" ht="16.5" hidden="false" customHeight="true" outlineLevel="0" collapsed="false">
      <c r="A15" s="1"/>
      <c r="C15" s="5" t="s">
        <v>34</v>
      </c>
      <c r="D15" s="6" t="s">
        <v>40</v>
      </c>
    </row>
    <row r="16" customFormat="false" ht="16.5" hidden="false" customHeight="true" outlineLevel="0" collapsed="false">
      <c r="A16" s="11" t="s">
        <v>20</v>
      </c>
      <c r="C16" s="5" t="s">
        <v>36</v>
      </c>
      <c r="D16" s="21" t="n">
        <v>3400.2</v>
      </c>
    </row>
    <row r="17" customFormat="false" ht="16.5" hidden="false" customHeight="true" outlineLevel="0" collapsed="false">
      <c r="A17" s="11"/>
      <c r="C17" s="5" t="s">
        <v>37</v>
      </c>
      <c r="D17" s="6" t="s">
        <v>41</v>
      </c>
    </row>
    <row r="18" customFormat="false" ht="15" hidden="false" customHeight="true" outlineLevel="0" collapsed="false">
      <c r="A18" s="1"/>
    </row>
    <row r="19" customFormat="false" ht="16.5" hidden="false" customHeight="true" outlineLevel="0" collapsed="false">
      <c r="A19" s="11" t="s">
        <v>26</v>
      </c>
      <c r="C19" s="20" t="s">
        <v>42</v>
      </c>
    </row>
    <row r="20" customFormat="false" ht="16.5" hidden="false" customHeight="true" outlineLevel="0" collapsed="false">
      <c r="A20" s="11"/>
      <c r="C20" s="5" t="s">
        <v>34</v>
      </c>
      <c r="D20" s="6" t="s">
        <v>43</v>
      </c>
    </row>
    <row r="21" customFormat="false" ht="16.5" hidden="false" customHeight="true" outlineLevel="0" collapsed="false">
      <c r="A21" s="1"/>
      <c r="C21" s="5" t="s">
        <v>36</v>
      </c>
      <c r="D21" s="21" t="n">
        <v>8750</v>
      </c>
    </row>
    <row r="22" customFormat="false" ht="16.5" hidden="false" customHeight="true" outlineLevel="0" collapsed="false">
      <c r="A22" s="15"/>
      <c r="C22" s="5" t="s">
        <v>37</v>
      </c>
      <c r="D22" s="6" t="s">
        <v>44</v>
      </c>
    </row>
    <row r="23" customFormat="false" ht="15" hidden="false" customHeight="true" outlineLevel="0" collapsed="false">
      <c r="A23" s="17" t="s">
        <v>29</v>
      </c>
    </row>
    <row r="24" customFormat="false" ht="18" hidden="false" customHeight="true" outlineLevel="0" collapsed="false">
      <c r="A24" s="17"/>
      <c r="C24" s="22" t="s">
        <v>45</v>
      </c>
      <c r="D24" s="16" t="s">
        <v>28</v>
      </c>
      <c r="E24" s="16"/>
    </row>
    <row r="25" customFormat="false" ht="18" hidden="false" customHeight="true" outlineLevel="0" collapsed="false">
      <c r="A25" s="17"/>
      <c r="C25" s="22"/>
      <c r="D25" s="22"/>
      <c r="E25" s="16"/>
    </row>
    <row r="26" customFormat="false" ht="15" hidden="false" customHeight="true" outlineLevel="0" collapsed="false">
      <c r="A26" s="1"/>
    </row>
  </sheetData>
  <mergeCells count="10">
    <mergeCell ref="C3:E3"/>
    <mergeCell ref="C4:E4"/>
    <mergeCell ref="C7:D7"/>
    <mergeCell ref="A10:A11"/>
    <mergeCell ref="A13:A14"/>
    <mergeCell ref="A16:A17"/>
    <mergeCell ref="A19:A20"/>
    <mergeCell ref="A23:A25"/>
    <mergeCell ref="C24:C25"/>
    <mergeCell ref="D24:E25"/>
  </mergeCells>
  <dataValidations count="1">
    <dataValidation allowBlank="true" error="Informe um banco da lista" errorStyle="stop" errorTitle="Banco não encontrado" operator="between" prompt="Selecione um banco da lista" promptTitle="Informe um banco" showDropDown="false" showErrorMessage="true" showInputMessage="true" sqref="D10 D15 D20" type="list">
      <formula1>LISTAS!$A$2:$A$51</formula1>
      <formula2>0</formula2>
    </dataValidation>
  </dataValidations>
  <hyperlinks>
    <hyperlink ref="A10" r:id="rId1" location="TITULAR!A1" display="TITULAR"/>
    <hyperlink ref="A13" r:id="rId2" location="RENDIMENTOS!A1" display="RENDIMENTOS"/>
    <hyperlink ref="A16" r:id="rId3" location="LANCAMENTOS!A1" display="LANÇAMENTOS"/>
    <hyperlink ref="A19" r:id="rId4" location="RESUMO!A1" display="RESUMO"/>
    <hyperlink ref="C24" r:id="rId5" location="TITULAR!A1" display="← ANTERIOR"/>
    <hyperlink ref="D24" r:id="rId6" location="LANCAMENTOS!A1" display="PRÓXIMO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"/>
    <col collapsed="false" customWidth="true" hidden="false" outlineLevel="0" max="4" min="3" style="0" width="20"/>
    <col collapsed="false" customWidth="true" hidden="false" outlineLevel="0" max="5" min="5" style="0" width="18"/>
  </cols>
  <sheetData>
    <row r="1" customFormat="false" ht="15" hidden="false" customHeight="true" outlineLevel="0" collapsed="false">
      <c r="A1" s="1"/>
    </row>
    <row r="2" customFormat="false" ht="15" hidden="false" customHeight="true" outlineLevel="0" collapsed="false">
      <c r="A2" s="1"/>
    </row>
    <row r="3" customFormat="false" ht="19.5" hidden="false" customHeight="true" outlineLevel="0" collapsed="false">
      <c r="A3" s="1"/>
      <c r="C3" s="2" t="s">
        <v>46</v>
      </c>
      <c r="D3" s="2"/>
      <c r="E3" s="2"/>
    </row>
    <row r="4" customFormat="false" ht="21.75" hidden="false" customHeight="true" outlineLevel="0" collapsed="false">
      <c r="A4" s="1"/>
      <c r="C4" s="3" t="s">
        <v>47</v>
      </c>
      <c r="D4" s="3"/>
      <c r="E4" s="3"/>
    </row>
    <row r="5" customFormat="false" ht="15" hidden="false" customHeight="true" outlineLevel="0" collapsed="false">
      <c r="A5" s="1"/>
    </row>
    <row r="6" customFormat="false" ht="25.5" hidden="false" customHeight="true" outlineLevel="0" collapsed="false">
      <c r="A6" s="4" t="s">
        <v>2</v>
      </c>
    </row>
    <row r="7" customFormat="false" ht="24" hidden="false" customHeight="true" outlineLevel="0" collapsed="false">
      <c r="A7" s="7" t="s">
        <v>5</v>
      </c>
    </row>
    <row r="8" customFormat="false" ht="15" hidden="false" customHeight="true" outlineLevel="0" collapsed="false">
      <c r="A8" s="1"/>
      <c r="C8" s="23" t="s">
        <v>48</v>
      </c>
      <c r="D8" s="23" t="s">
        <v>49</v>
      </c>
      <c r="E8" s="23" t="s">
        <v>50</v>
      </c>
    </row>
    <row r="9" customFormat="false" ht="16.5" hidden="false" customHeight="true" outlineLevel="0" collapsed="false">
      <c r="A9" s="1"/>
      <c r="C9" s="24" t="n">
        <v>45662</v>
      </c>
      <c r="D9" s="25" t="s">
        <v>51</v>
      </c>
      <c r="E9" s="26" t="n">
        <v>4500</v>
      </c>
    </row>
    <row r="10" customFormat="false" ht="16.5" hidden="false" customHeight="true" outlineLevel="0" collapsed="false">
      <c r="A10" s="11" t="s">
        <v>9</v>
      </c>
      <c r="C10" s="24" t="n">
        <v>45693</v>
      </c>
      <c r="D10" s="25" t="s">
        <v>51</v>
      </c>
      <c r="E10" s="26" t="n">
        <v>4500</v>
      </c>
    </row>
    <row r="11" customFormat="false" ht="16.5" hidden="false" customHeight="true" outlineLevel="0" collapsed="false">
      <c r="A11" s="11"/>
      <c r="C11" s="24" t="n">
        <v>45708</v>
      </c>
      <c r="D11" s="25" t="s">
        <v>52</v>
      </c>
      <c r="E11" s="26" t="n">
        <v>1200</v>
      </c>
    </row>
    <row r="12" customFormat="false" ht="16.5" hidden="false" customHeight="true" outlineLevel="0" collapsed="false">
      <c r="A12" s="1"/>
      <c r="C12" s="24" t="n">
        <v>45721</v>
      </c>
      <c r="D12" s="25" t="s">
        <v>51</v>
      </c>
      <c r="E12" s="26" t="n">
        <v>4500</v>
      </c>
    </row>
    <row r="13" customFormat="false" ht="16.5" hidden="false" customHeight="true" outlineLevel="0" collapsed="false">
      <c r="A13" s="11" t="s">
        <v>16</v>
      </c>
      <c r="C13" s="24" t="n">
        <v>45731</v>
      </c>
      <c r="D13" s="25" t="s">
        <v>53</v>
      </c>
      <c r="E13" s="26" t="n">
        <v>1800</v>
      </c>
    </row>
    <row r="14" customFormat="false" ht="16.5" hidden="false" customHeight="true" outlineLevel="0" collapsed="false">
      <c r="A14" s="11"/>
    </row>
    <row r="15" customFormat="false" ht="16.5" hidden="false" customHeight="true" outlineLevel="0" collapsed="false">
      <c r="A15" s="1"/>
    </row>
    <row r="16" customFormat="false" ht="16.5" hidden="false" customHeight="true" outlineLevel="0" collapsed="false">
      <c r="A16" s="10" t="s">
        <v>20</v>
      </c>
    </row>
    <row r="17" customFormat="false" ht="16.5" hidden="false" customHeight="true" outlineLevel="0" collapsed="false">
      <c r="A17" s="10"/>
    </row>
    <row r="18" customFormat="false" ht="16.5" hidden="false" customHeight="true" outlineLevel="0" collapsed="false">
      <c r="A18" s="1"/>
    </row>
    <row r="19" customFormat="false" ht="16.5" hidden="false" customHeight="true" outlineLevel="0" collapsed="false">
      <c r="A19" s="11" t="s">
        <v>26</v>
      </c>
    </row>
    <row r="20" customFormat="false" ht="16.5" hidden="false" customHeight="true" outlineLevel="0" collapsed="false">
      <c r="A20" s="11"/>
    </row>
    <row r="21" customFormat="false" ht="16.5" hidden="false" customHeight="true" outlineLevel="0" collapsed="false">
      <c r="A21" s="1"/>
    </row>
    <row r="22" customFormat="false" ht="16.5" hidden="false" customHeight="true" outlineLevel="0" collapsed="false">
      <c r="A22" s="15"/>
    </row>
    <row r="23" customFormat="false" ht="16.5" hidden="false" customHeight="true" outlineLevel="0" collapsed="false">
      <c r="A23" s="17" t="s">
        <v>29</v>
      </c>
    </row>
    <row r="24" customFormat="false" ht="16.5" hidden="false" customHeight="true" outlineLevel="0" collapsed="false">
      <c r="A24" s="17"/>
    </row>
    <row r="25" customFormat="false" ht="16.5" hidden="false" customHeight="true" outlineLevel="0" collapsed="false">
      <c r="A25" s="17"/>
    </row>
    <row r="26" customFormat="false" ht="16.5" hidden="false" customHeight="true" outlineLevel="0" collapsed="false">
      <c r="A26" s="1"/>
    </row>
    <row r="27" customFormat="false" ht="16.5" hidden="false" customHeight="true" outlineLevel="0" collapsed="false"/>
    <row r="28" customFormat="false" ht="16.5" hidden="false" customHeight="true" outlineLevel="0" collapsed="false"/>
    <row r="29" customFormat="false" ht="16.5" hidden="false" customHeight="true" outlineLevel="0" collapsed="false"/>
    <row r="30" customFormat="false" ht="16.5" hidden="false" customHeight="true" outlineLevel="0" collapsed="false"/>
    <row r="31" customFormat="false" ht="16.5" hidden="false" customHeight="true" outlineLevel="0" collapsed="false"/>
    <row r="32" customFormat="false" ht="16.5" hidden="false" customHeight="true" outlineLevel="0" collapsed="false"/>
    <row r="33" customFormat="false" ht="16.5" hidden="false" customHeight="true" outlineLevel="0" collapsed="false"/>
    <row r="34" customFormat="false" ht="16.5" hidden="false" customHeight="true" outlineLevel="0" collapsed="false"/>
    <row r="35" customFormat="false" ht="16.5" hidden="false" customHeight="true" outlineLevel="0" collapsed="false"/>
    <row r="37" customFormat="false" ht="18" hidden="false" customHeight="true" outlineLevel="0" collapsed="false">
      <c r="C37" s="22" t="s">
        <v>45</v>
      </c>
      <c r="D37" s="16" t="s">
        <v>28</v>
      </c>
      <c r="E37" s="16"/>
    </row>
    <row r="38" customFormat="false" ht="18" hidden="false" customHeight="true" outlineLevel="0" collapsed="false">
      <c r="C38" s="22"/>
      <c r="D38" s="22"/>
      <c r="E38" s="16"/>
    </row>
  </sheetData>
  <mergeCells count="9">
    <mergeCell ref="C3:E3"/>
    <mergeCell ref="C4:E4"/>
    <mergeCell ref="A10:A11"/>
    <mergeCell ref="A13:A14"/>
    <mergeCell ref="A16:A17"/>
    <mergeCell ref="A19:A20"/>
    <mergeCell ref="A23:A25"/>
    <mergeCell ref="C37:C38"/>
    <mergeCell ref="D37:E38"/>
  </mergeCells>
  <dataValidations count="1">
    <dataValidation allowBlank="true" errorStyle="stop" operator="between" prompt="Selecione uma categoria da lista" promptTitle="Categoria" showDropDown="false" showErrorMessage="true" showInputMessage="true" sqref="D9:D35" type="list">
      <formula1>LISTAS!$C$2:$C$6</formula1>
      <formula2>0</formula2>
    </dataValidation>
  </dataValidations>
  <hyperlinks>
    <hyperlink ref="A10" r:id="rId1" location="TITULAR!A1" display="TITULAR"/>
    <hyperlink ref="A13" r:id="rId2" location="RENDIMENTOS!A1" display="RENDIMENTOS"/>
    <hyperlink ref="A16" r:id="rId3" location="LANCAMENTOS!A1" display="LANÇAMENTOS"/>
    <hyperlink ref="A19" r:id="rId4" location="RESUMO!A1" display="RESUMO"/>
    <hyperlink ref="C37" r:id="rId5" location="RENDIMENTOS!A1" display="← ANTERIOR"/>
    <hyperlink ref="D37" r:id="rId6" location="RESUMO!A1" display="PRÓXIMO →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7"/>
  <tableParts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18"/>
  </cols>
  <sheetData>
    <row r="1" customFormat="false" ht="15" hidden="false" customHeight="true" outlineLevel="0" collapsed="false">
      <c r="A1" s="1"/>
    </row>
    <row r="2" customFormat="false" ht="15" hidden="false" customHeight="true" outlineLevel="0" collapsed="false">
      <c r="A2" s="1"/>
    </row>
    <row r="3" customFormat="false" ht="19.5" hidden="false" customHeight="true" outlineLevel="0" collapsed="false">
      <c r="A3" s="1"/>
      <c r="C3" s="2" t="s">
        <v>54</v>
      </c>
      <c r="D3" s="2"/>
      <c r="E3" s="2"/>
    </row>
    <row r="4" customFormat="false" ht="21.75" hidden="false" customHeight="true" outlineLevel="0" collapsed="false">
      <c r="A4" s="1"/>
      <c r="C4" s="3" t="s">
        <v>55</v>
      </c>
      <c r="D4" s="3"/>
      <c r="E4" s="3"/>
    </row>
    <row r="5" customFormat="false" ht="15" hidden="false" customHeight="true" outlineLevel="0" collapsed="false">
      <c r="A5" s="1"/>
    </row>
    <row r="6" customFormat="false" ht="18" hidden="false" customHeight="true" outlineLevel="0" collapsed="false">
      <c r="A6" s="4" t="s">
        <v>2</v>
      </c>
      <c r="C6" s="5" t="s">
        <v>56</v>
      </c>
      <c r="D6" s="27" t="n">
        <f aca="false">RENDIMENTOS!C7</f>
        <v>24650.95</v>
      </c>
    </row>
    <row r="7" customFormat="false" ht="18" hidden="false" customHeight="true" outlineLevel="0" collapsed="false">
      <c r="A7" s="7" t="s">
        <v>5</v>
      </c>
      <c r="C7" s="5" t="s">
        <v>57</v>
      </c>
      <c r="D7" s="27" t="n">
        <f aca="false">SUM(TabelaLancamentos[VALOR])</f>
        <v>16500</v>
      </c>
    </row>
    <row r="8" customFormat="false" ht="18" hidden="false" customHeight="true" outlineLevel="0" collapsed="false">
      <c r="A8" s="1"/>
      <c r="C8" s="5" t="s">
        <v>58</v>
      </c>
      <c r="D8" s="28" t="n">
        <f aca="false">D6+D7</f>
        <v>41150.95</v>
      </c>
    </row>
    <row r="9" customFormat="false" ht="15" hidden="false" customHeight="true" outlineLevel="0" collapsed="false">
      <c r="A9" s="1"/>
    </row>
    <row r="10" customFormat="false" ht="18" hidden="false" customHeight="true" outlineLevel="0" collapsed="false">
      <c r="A10" s="11" t="s">
        <v>9</v>
      </c>
      <c r="C10" s="29" t="s">
        <v>59</v>
      </c>
    </row>
    <row r="11" customFormat="false" ht="16.5" hidden="false" customHeight="true" outlineLevel="0" collapsed="false">
      <c r="A11" s="11"/>
      <c r="C11" s="30" t="s">
        <v>51</v>
      </c>
      <c r="D11" s="31" t="n">
        <f aca="false">SUMIF(TabelaLancamentos[CATEGORIA],C11,TabelaLancamentos[VALOR])</f>
        <v>13500</v>
      </c>
    </row>
    <row r="12" customFormat="false" ht="16.5" hidden="false" customHeight="true" outlineLevel="0" collapsed="false">
      <c r="A12" s="1"/>
      <c r="C12" s="30" t="s">
        <v>52</v>
      </c>
      <c r="D12" s="31" t="n">
        <f aca="false">SUMIF(TabelaLancamentos[CATEGORIA],C12,TabelaLancamentos[VALOR])</f>
        <v>1200</v>
      </c>
    </row>
    <row r="13" customFormat="false" ht="16.5" hidden="false" customHeight="true" outlineLevel="0" collapsed="false">
      <c r="A13" s="11" t="s">
        <v>16</v>
      </c>
      <c r="C13" s="30" t="s">
        <v>53</v>
      </c>
      <c r="D13" s="31" t="n">
        <f aca="false">SUMIF(TabelaLancamentos[CATEGORIA],C13,TabelaLancamentos[VALOR])</f>
        <v>1800</v>
      </c>
    </row>
    <row r="14" customFormat="false" ht="16.5" hidden="false" customHeight="true" outlineLevel="0" collapsed="false">
      <c r="A14" s="11"/>
      <c r="C14" s="30" t="s">
        <v>60</v>
      </c>
      <c r="D14" s="31" t="n">
        <f aca="false">SUMIF(TabelaLancamentos[CATEGORIA],C14,TabelaLancamentos[VALOR])</f>
        <v>0</v>
      </c>
    </row>
    <row r="15" customFormat="false" ht="16.5" hidden="false" customHeight="true" outlineLevel="0" collapsed="false">
      <c r="A15" s="1"/>
      <c r="C15" s="30" t="s">
        <v>61</v>
      </c>
      <c r="D15" s="31" t="n">
        <f aca="false">SUMIF(TabelaLancamentos[CATEGORIA],C15,TabelaLancamentos[VALOR])</f>
        <v>0</v>
      </c>
    </row>
    <row r="16" customFormat="false" ht="15.75" hidden="false" customHeight="true" outlineLevel="0" collapsed="false">
      <c r="A16" s="11" t="s">
        <v>20</v>
      </c>
    </row>
    <row r="17" customFormat="false" ht="18" hidden="false" customHeight="true" outlineLevel="0" collapsed="false">
      <c r="A17" s="11"/>
      <c r="C17" s="5" t="s">
        <v>62</v>
      </c>
      <c r="D17" s="32" t="str">
        <f aca="false">INDEX(C11:C15,MATCH(MAX(D11:D15),D11:D15,0))</f>
        <v>SALÁRIO</v>
      </c>
    </row>
    <row r="18" customFormat="false" ht="15" hidden="false" customHeight="true" outlineLevel="0" collapsed="false">
      <c r="A18" s="1"/>
    </row>
    <row r="19" customFormat="false" ht="18" hidden="false" customHeight="true" outlineLevel="0" collapsed="false">
      <c r="A19" s="10" t="s">
        <v>26</v>
      </c>
      <c r="C19" s="22" t="s">
        <v>45</v>
      </c>
    </row>
    <row r="20" customFormat="false" ht="18" hidden="false" customHeight="true" outlineLevel="0" collapsed="false">
      <c r="A20" s="10"/>
      <c r="C20" s="22"/>
    </row>
    <row r="21" customFormat="false" ht="15" hidden="false" customHeight="true" outlineLevel="0" collapsed="false">
      <c r="A21" s="1"/>
    </row>
    <row r="22" customFormat="false" ht="15" hidden="false" customHeight="true" outlineLevel="0" collapsed="false">
      <c r="A22" s="15"/>
    </row>
    <row r="23" customFormat="false" ht="15" hidden="false" customHeight="true" outlineLevel="0" collapsed="false">
      <c r="A23" s="17" t="s">
        <v>29</v>
      </c>
    </row>
    <row r="24" customFormat="false" ht="15" hidden="false" customHeight="true" outlineLevel="0" collapsed="false">
      <c r="A24" s="17"/>
    </row>
    <row r="25" customFormat="false" ht="15" hidden="false" customHeight="true" outlineLevel="0" collapsed="false">
      <c r="A25" s="17"/>
    </row>
    <row r="26" customFormat="false" ht="15" hidden="false" customHeight="true" outlineLevel="0" collapsed="false">
      <c r="A26" s="1"/>
    </row>
  </sheetData>
  <mergeCells count="8">
    <mergeCell ref="C3:E3"/>
    <mergeCell ref="C4:E4"/>
    <mergeCell ref="A10:A11"/>
    <mergeCell ref="A13:A14"/>
    <mergeCell ref="A16:A17"/>
    <mergeCell ref="A19:A20"/>
    <mergeCell ref="C19:C20"/>
    <mergeCell ref="A23:A25"/>
  </mergeCells>
  <conditionalFormatting sqref="D11:D15">
    <cfRule type="dataBar" priority="2">
      <dataBar showValue="1" minLength="10" maxLength="90">
        <cfvo type="min" val="0"/>
        <cfvo type="max" val="0"/>
        <color rgb="FFC9A227"/>
      </dataBar>
      <extLst>
        <ext xmlns:x14="http://schemas.microsoft.com/office/spreadsheetml/2009/9/main" uri="{B025F937-C7B1-47D3-B67F-A62EFF666E3E}">
          <x14:id>{9A4A751E-5130-4DD4-8429-8560B779A1D9}</x14:id>
        </ext>
      </extLst>
    </cfRule>
  </conditionalFormatting>
  <hyperlinks>
    <hyperlink ref="A10" r:id="rId1" location="TITULAR!A1" display="TITULAR"/>
    <hyperlink ref="A13" r:id="rId2" location="RENDIMENTOS!A1" display="RENDIMENTOS"/>
    <hyperlink ref="A16" r:id="rId3" location="LANCAMENTOS!A1" display="LANÇAMENTOS"/>
    <hyperlink ref="A19" r:id="rId4" location="RESUMO!A1" display="RESUMO"/>
    <hyperlink ref="C19" r:id="rId5" location="LANCAMENTOS!A1" display="← ANTERIO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4A751E-5130-4DD4-8429-8560B779A1D9}">
            <x14:dataBar minLength="10" maxLength="90" axisPosition="none" gradient="true">
              <x14:cfvo type="min"/>
              <x14:cfvo type="max"/>
              <x14:negativeFillColor rgb="FFC9A227"/>
              <x14:axisColor rgb="FF000000"/>
            </x14:dataBar>
          </x14:cfRule>
          <xm:sqref>D11:D15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3" style="0" width="1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0" t="s">
        <v>63</v>
      </c>
      <c r="C1" s="0" t="s">
        <v>64</v>
      </c>
      <c r="E1" s="0" t="s">
        <v>65</v>
      </c>
    </row>
    <row r="2" customFormat="false" ht="15" hidden="false" customHeight="false" outlineLevel="0" collapsed="false">
      <c r="A2" s="0" t="s">
        <v>43</v>
      </c>
      <c r="C2" s="0" t="s">
        <v>51</v>
      </c>
      <c r="E2" s="0" t="s">
        <v>66</v>
      </c>
    </row>
    <row r="3" customFormat="false" ht="15" hidden="false" customHeight="false" outlineLevel="0" collapsed="false">
      <c r="A3" s="0" t="s">
        <v>67</v>
      </c>
      <c r="C3" s="0" t="s">
        <v>52</v>
      </c>
      <c r="E3" s="0" t="s">
        <v>24</v>
      </c>
    </row>
    <row r="4" customFormat="false" ht="15" hidden="false" customHeight="false" outlineLevel="0" collapsed="false">
      <c r="A4" s="0" t="s">
        <v>68</v>
      </c>
      <c r="C4" s="0" t="s">
        <v>53</v>
      </c>
    </row>
    <row r="5" customFormat="false" ht="15" hidden="false" customHeight="false" outlineLevel="0" collapsed="false">
      <c r="A5" s="0" t="s">
        <v>69</v>
      </c>
      <c r="C5" s="0" t="s">
        <v>60</v>
      </c>
    </row>
    <row r="6" customFormat="false" ht="15" hidden="false" customHeight="false" outlineLevel="0" collapsed="false">
      <c r="A6" s="0" t="s">
        <v>70</v>
      </c>
      <c r="C6" s="0" t="s">
        <v>61</v>
      </c>
    </row>
    <row r="7" customFormat="false" ht="15" hidden="false" customHeight="false" outlineLevel="0" collapsed="false">
      <c r="A7" s="0" t="s">
        <v>71</v>
      </c>
    </row>
    <row r="8" customFormat="false" ht="15" hidden="false" customHeight="false" outlineLevel="0" collapsed="false">
      <c r="A8" s="0" t="s">
        <v>72</v>
      </c>
    </row>
    <row r="9" customFormat="false" ht="15" hidden="false" customHeight="false" outlineLevel="0" collapsed="false">
      <c r="A9" s="0" t="s">
        <v>73</v>
      </c>
    </row>
    <row r="10" customFormat="false" ht="15" hidden="false" customHeight="false" outlineLevel="0" collapsed="false">
      <c r="A10" s="0" t="s">
        <v>74</v>
      </c>
    </row>
    <row r="11" customFormat="false" ht="15" hidden="false" customHeight="false" outlineLevel="0" collapsed="false">
      <c r="A11" s="0" t="s">
        <v>75</v>
      </c>
    </row>
    <row r="12" customFormat="false" ht="15" hidden="false" customHeight="false" outlineLevel="0" collapsed="false">
      <c r="A12" s="0" t="s">
        <v>76</v>
      </c>
    </row>
    <row r="13" customFormat="false" ht="15" hidden="false" customHeight="false" outlineLevel="0" collapsed="false">
      <c r="A13" s="0" t="s">
        <v>77</v>
      </c>
    </row>
    <row r="14" customFormat="false" ht="15" hidden="false" customHeight="false" outlineLevel="0" collapsed="false">
      <c r="A14" s="0" t="s">
        <v>78</v>
      </c>
    </row>
    <row r="15" customFormat="false" ht="15" hidden="false" customHeight="false" outlineLevel="0" collapsed="false">
      <c r="A15" s="0" t="s">
        <v>79</v>
      </c>
    </row>
    <row r="16" customFormat="false" ht="15" hidden="false" customHeight="false" outlineLevel="0" collapsed="false">
      <c r="A16" s="0" t="s">
        <v>40</v>
      </c>
    </row>
    <row r="17" customFormat="false" ht="15" hidden="false" customHeight="false" outlineLevel="0" collapsed="false">
      <c r="A17" s="0" t="s">
        <v>80</v>
      </c>
    </row>
    <row r="18" customFormat="false" ht="15" hidden="false" customHeight="false" outlineLevel="0" collapsed="false">
      <c r="A18" s="0" t="s">
        <v>81</v>
      </c>
    </row>
    <row r="19" customFormat="false" ht="15" hidden="false" customHeight="false" outlineLevel="0" collapsed="false">
      <c r="A19" s="0" t="s">
        <v>82</v>
      </c>
    </row>
    <row r="20" customFormat="false" ht="15" hidden="false" customHeight="false" outlineLevel="0" collapsed="false">
      <c r="A20" s="0" t="s">
        <v>83</v>
      </c>
    </row>
    <row r="21" customFormat="false" ht="15" hidden="false" customHeight="false" outlineLevel="0" collapsed="false">
      <c r="A21" s="0" t="s">
        <v>84</v>
      </c>
    </row>
    <row r="22" customFormat="false" ht="15" hidden="false" customHeight="false" outlineLevel="0" collapsed="false">
      <c r="A22" s="0" t="s">
        <v>35</v>
      </c>
    </row>
    <row r="23" customFormat="false" ht="15" hidden="false" customHeight="false" outlineLevel="0" collapsed="false">
      <c r="A23" s="0" t="s">
        <v>85</v>
      </c>
    </row>
    <row r="24" customFormat="false" ht="15" hidden="false" customHeight="false" outlineLevel="0" collapsed="false">
      <c r="A24" s="0" t="s">
        <v>86</v>
      </c>
    </row>
    <row r="25" customFormat="false" ht="15" hidden="false" customHeight="false" outlineLevel="0" collapsed="false">
      <c r="A25" s="0" t="s">
        <v>87</v>
      </c>
    </row>
    <row r="26" customFormat="false" ht="15" hidden="false" customHeight="false" outlineLevel="0" collapsed="false">
      <c r="A26" s="0" t="s">
        <v>88</v>
      </c>
    </row>
    <row r="27" customFormat="false" ht="15" hidden="false" customHeight="false" outlineLevel="0" collapsed="false">
      <c r="A27" s="0" t="s">
        <v>89</v>
      </c>
    </row>
    <row r="28" customFormat="false" ht="15" hidden="false" customHeight="false" outlineLevel="0" collapsed="false">
      <c r="A28" s="0" t="s">
        <v>90</v>
      </c>
    </row>
    <row r="29" customFormat="false" ht="15" hidden="false" customHeight="false" outlineLevel="0" collapsed="false">
      <c r="A29" s="0" t="s">
        <v>91</v>
      </c>
    </row>
    <row r="30" customFormat="false" ht="15" hidden="false" customHeight="false" outlineLevel="0" collapsed="false">
      <c r="A30" s="0" t="s">
        <v>92</v>
      </c>
    </row>
    <row r="31" customFormat="false" ht="15" hidden="false" customHeight="false" outlineLevel="0" collapsed="false">
      <c r="A31" s="0" t="s">
        <v>93</v>
      </c>
    </row>
    <row r="32" customFormat="false" ht="15" hidden="false" customHeight="false" outlineLevel="0" collapsed="false">
      <c r="A32" s="0" t="s">
        <v>94</v>
      </c>
    </row>
    <row r="33" customFormat="false" ht="15" hidden="false" customHeight="false" outlineLevel="0" collapsed="false">
      <c r="A33" s="0" t="s">
        <v>95</v>
      </c>
    </row>
    <row r="34" customFormat="false" ht="15" hidden="false" customHeight="false" outlineLevel="0" collapsed="false">
      <c r="A34" s="0" t="s">
        <v>96</v>
      </c>
    </row>
    <row r="35" customFormat="false" ht="15" hidden="false" customHeight="false" outlineLevel="0" collapsed="false">
      <c r="A35" s="0" t="s">
        <v>97</v>
      </c>
    </row>
    <row r="36" customFormat="false" ht="15" hidden="false" customHeight="false" outlineLevel="0" collapsed="false">
      <c r="A36" s="0" t="s">
        <v>98</v>
      </c>
    </row>
    <row r="37" customFormat="false" ht="15" hidden="false" customHeight="false" outlineLevel="0" collapsed="false">
      <c r="A37" s="0" t="s">
        <v>99</v>
      </c>
    </row>
    <row r="38" customFormat="false" ht="15" hidden="false" customHeight="false" outlineLevel="0" collapsed="false">
      <c r="A38" s="0" t="s">
        <v>100</v>
      </c>
    </row>
    <row r="39" customFormat="false" ht="15" hidden="false" customHeight="false" outlineLevel="0" collapsed="false">
      <c r="A39" s="0" t="s">
        <v>101</v>
      </c>
    </row>
    <row r="40" customFormat="false" ht="15" hidden="false" customHeight="false" outlineLevel="0" collapsed="false">
      <c r="A40" s="0" t="s">
        <v>102</v>
      </c>
    </row>
    <row r="41" customFormat="false" ht="15" hidden="false" customHeight="false" outlineLevel="0" collapsed="false">
      <c r="A41" s="0" t="s">
        <v>103</v>
      </c>
    </row>
    <row r="42" customFormat="false" ht="15" hidden="false" customHeight="false" outlineLevel="0" collapsed="false">
      <c r="A42" s="0" t="s">
        <v>104</v>
      </c>
    </row>
    <row r="43" customFormat="false" ht="15" hidden="false" customHeight="false" outlineLevel="0" collapsed="false">
      <c r="A43" s="0" t="s">
        <v>105</v>
      </c>
    </row>
    <row r="44" customFormat="false" ht="15" hidden="false" customHeight="false" outlineLevel="0" collapsed="false">
      <c r="A44" s="0" t="s">
        <v>106</v>
      </c>
    </row>
    <row r="45" customFormat="false" ht="15" hidden="false" customHeight="false" outlineLevel="0" collapsed="false">
      <c r="A45" s="0" t="s">
        <v>107</v>
      </c>
    </row>
    <row r="46" customFormat="false" ht="15" hidden="false" customHeight="false" outlineLevel="0" collapsed="false">
      <c r="A46" s="0" t="s">
        <v>108</v>
      </c>
    </row>
    <row r="47" customFormat="false" ht="15" hidden="false" customHeight="false" outlineLevel="0" collapsed="false">
      <c r="A47" s="0" t="s">
        <v>109</v>
      </c>
    </row>
    <row r="48" customFormat="false" ht="15" hidden="false" customHeight="false" outlineLevel="0" collapsed="false">
      <c r="A48" s="0" t="s">
        <v>110</v>
      </c>
    </row>
    <row r="49" customFormat="false" ht="15" hidden="false" customHeight="false" outlineLevel="0" collapsed="false">
      <c r="A49" s="0" t="s">
        <v>111</v>
      </c>
    </row>
    <row r="50" customFormat="false" ht="15" hidden="false" customHeight="false" outlineLevel="0" collapsed="false">
      <c r="A50" s="0" t="s">
        <v>112</v>
      </c>
    </row>
    <row r="51" customFormat="false" ht="15" hidden="false" customHeight="false" outlineLevel="0" collapsed="false">
      <c r="A51" s="0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2026-09-07T18:58:31Z</dcterms:created>
  <dc:creator>openpyxl</dc:creator>
  <dc:description/>
  <dc:language>en-US</dc:language>
  <cp:lastModifiedBy/>
  <dcterms:modified xsi:type="dcterms:W3CDTF">2026-09-07T18:58:31Z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